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980fe6b3f646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1 BOM" sheetId="1" r:id="Ra91b092e84ae4b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04040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i/>
      <x:sz val="11"/>
      <x:color rgb="FF55555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 applyAlignment="1">
      <x:alignment horizontal="center" vertical="center" wrapText="1"/>
    </x:xf>
    <x:xf numFmtId="200" fontId="0" fillId="8" borderId="0" xfId="0" applyNumberFormat="1" applyFont="1" applyFill="1" applyBorder="1" applyAlignment="1">
      <x:alignment horizontal="center" vertical="center" wrapText="1"/>
    </x:xf>
    <x:xf numFmtId="200" fontId="0" fillId="9" borderId="0" xfId="0" applyNumberFormat="1" applyFont="1" applyFill="1" applyBorder="1" applyAlignment="1">
      <x:alignment horizontal="center" vertical="center" wrapText="1"/>
    </x:xf>
    <x:xf numFmtId="200" fontId="4" fillId="6" borderId="0" xfId="0" applyNumberFormat="1" applyFont="1" applyFill="1" applyBorder="1" applyAlignment="1">
      <x:alignment vertical="center" wrapText="1"/>
    </x:xf>
    <x:xf numFmtId="200" fontId="0" fillId="8" borderId="1" xfId="0" applyNumberFormat="1" applyFont="1" applyFill="1" applyBorder="1" applyAlignment="1">
      <x:alignment horizontal="center" vertical="center" wrapText="1"/>
    </x:xf>
    <x:xf numFmtId="200" fontId="0" fillId="9" borderId="1" xfId="0" applyNumberFormat="1" applyFont="1" applyFill="1" applyBorder="1" applyAlignment="1">
      <x:alignment horizontal="center"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dd3f60fb1e469e" /><Relationship Type="http://schemas.openxmlformats.org/officeDocument/2006/relationships/theme" Target="/xl/theme/theme1.xml" Id="Re2e6db332b6241c2" /><Relationship Type="http://schemas.openxmlformats.org/officeDocument/2006/relationships/sharedStrings" Target="/xl/sharedStrings.xml" Id="R9a3e7ade121b4672" /><Relationship Type="http://schemas.openxmlformats.org/officeDocument/2006/relationships/worksheet" Target="/xl/worksheets/sheet1.xml" Id="Ra91b092e84ae4b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13" hidden="0" customWidth="1"/>
    <x:col min="5" max="5" width="18" hidden="0" customWidth="1"/>
    <x:col min="6" max="6" width="44" hidden="0" customWidth="1"/>
    <x:col min="7" max="7" width="48" hidden="0" customWidth="1"/>
  </x:cols>
  <x:sheetData>
    <x:row r="1" ht="15" hidden="0" customHeight="1">
      <x:c r="A1" s="74" t="str">
        <x:v>OpenEmu Handheld — V1 Phone Prototype BOM</x:v>
      </x:c>
      <x:c r="B1" s="74"/>
      <x:c r="C1" s="74"/>
      <x:c r="D1" s="74"/>
      <x:c r="E1" s="74"/>
      <x:c r="F1" s="74"/>
      <x:c r="G1" s="74"/>
    </x:row>
    <x:row r="2" ht="15" hidden="0" customHeight="1">
      <x:c r="A2" s="75" t="str">
        <x:v>Currency: CAD  •  Last updated: 2026-10-04  •  Purchase prices include full multi-packs</x:v>
      </x:c>
      <x:c r="B2" s="75"/>
      <x:c r="C2" s="75"/>
      <x:c r="D2" s="75"/>
      <x:c r="E2" s="75"/>
      <x:c r="F2" s="75"/>
      <x:c r="G2" s="75"/>
    </x:row>
    <x:row r="3" ht="15" hidden="0" customHeight="1">
      <x:c r="A3" s="76"/>
      <x:c r="B3" s="76"/>
      <x:c r="C3" s="76"/>
      <x:c r="D3" s="76"/>
      <x:c r="E3" s="76"/>
      <x:c r="F3" s="76"/>
      <x:c r="G3" s="76"/>
    </x:row>
    <x:row r="4" ht="15" hidden="0" customHeight="1">
      <x:c r="A4" s="30" t="str">
        <x:v>Category</x:v>
      </x:c>
      <x:c r="B4" s="30" t="str">
        <x:v>Item</x:v>
      </x:c>
      <x:c r="C4" s="30" t="str">
        <x:v>Qty Purchased</x:v>
      </x:c>
      <x:c r="D4" s="30" t="str">
        <x:v>Qty Used</x:v>
      </x:c>
      <x:c r="E4" s="30" t="str">
        <x:v>Price Paid (CAD)</x:v>
      </x:c>
      <x:c r="F4" s="30" t="str">
        <x:v>Purpose / Notes</x:v>
      </x:c>
      <x:c r="G4" s="30" t="str">
        <x:v>Supplier Link</x:v>
      </x:c>
    </x:row>
    <x:row r="5" ht="26.399999618530273" hidden="0" customHeight="1">
      <x:c r="A5" s="54" t="str">
        <x:v>Power</x:v>
      </x:c>
      <x:c r="B5" s="54" t="str">
        <x:v>5000 mAh Battery</x:v>
      </x:c>
      <x:c r="C5" s="64" t="n">
        <x:v>2</x:v>
      </x:c>
      <x:c r="D5" s="64" t="n">
        <x:v>1</x:v>
      </x:c>
      <x:c r="E5" s="68" t="n">
        <x:v>16.11</x:v>
      </x:c>
      <x:c r="F5" s="54" t="str">
        <x:v>Main portable power source. One battery used; one spare.</x:v>
      </x:c>
      <x:c r="G5" s="54" t="str">
        <x:v>https://www.aliexpress.com/item/1005008867815394.html</x:v>
      </x:c>
    </x:row>
    <x:row r="6" ht="15" hidden="0" customHeight="1">
      <x:c r="A6" s="60" t="str">
        <x:v>Power</x:v>
      </x:c>
      <x:c r="B6" s="60" t="str">
        <x:v>Battery Converter Module</x:v>
      </x:c>
      <x:c r="C6" s="65" t="n">
        <x:v>3</x:v>
      </x:c>
      <x:c r="D6" s="65" t="n">
        <x:v>1</x:v>
      </x:c>
      <x:c r="E6" s="69" t="n">
        <x:v>2.35</x:v>
      </x:c>
      <x:c r="F6" s="60" t="str">
        <x:v>Used in the battery power system. One used; two spares.</x:v>
      </x:c>
      <x:c r="G6" s="60" t="str">
        <x:v>https://www.aliexpress.com/item/1005005008027845.html</x:v>
      </x:c>
    </x:row>
    <x:row r="7" ht="15" hidden="0" customHeight="1">
      <x:c r="A7" s="54" t="str">
        <x:v>Electronics</x:v>
      </x:c>
      <x:c r="B7" s="54" t="str">
        <x:v>Pro Micro ATmega32U4 5V/16MHz</x:v>
      </x:c>
      <x:c r="C7" s="64" t="n">
        <x:v>1</x:v>
      </x:c>
      <x:c r="D7" s="64" t="n">
        <x:v>1</x:v>
      </x:c>
      <x:c r="E7" s="68" t="n">
        <x:v>4.92</x:v>
      </x:c>
      <x:c r="F7" s="54" t="str">
        <x:v>Main controller microcontroller.</x:v>
      </x:c>
      <x:c r="G7" s="54" t="str">
        <x:v>https://www.aliexpress.com/item/1576902211.html</x:v>
      </x:c>
    </x:row>
    <x:row r="8" ht="26.399999618530273" hidden="0" customHeight="1">
      <x:c r="A8" s="60" t="str">
        <x:v>Connectivity</x:v>
      </x:c>
      <x:c r="B8" s="60" t="str">
        <x:v>USB-C Hub — 7-in-1</x:v>
      </x:c>
      <x:c r="C8" s="65" t="n">
        <x:v>1</x:v>
      </x:c>
      <x:c r="D8" s="65" t="n">
        <x:v>1</x:v>
      </x:c>
      <x:c r="E8" s="69" t="n">
        <x:v>12.08</x:v>
      </x:c>
      <x:c r="F8" s="60" t="str">
        <x:v>Connects the phone to external display and controller hardware.</x:v>
      </x:c>
      <x:c r="G8" s="60" t="str">
        <x:v>https://www.aliexpress.com/item/1005009066568188.html</x:v>
      </x:c>
    </x:row>
    <x:row r="9" ht="15" hidden="0" customHeight="1">
      <x:c r="A9" s="54" t="str">
        <x:v>Display</x:v>
      </x:c>
      <x:c r="B9" s="54" t="str">
        <x:v>7" 1024×600 TN Touchscreen</x:v>
      </x:c>
      <x:c r="C9" s="64" t="n">
        <x:v>1</x:v>
      </x:c>
      <x:c r="D9" s="64" t="n">
        <x:v>1</x:v>
      </x:c>
      <x:c r="E9" s="68" t="n">
        <x:v>42.4</x:v>
      </x:c>
      <x:c r="F9" s="54" t="str">
        <x:v>Secondary touchscreen display.</x:v>
      </x:c>
      <x:c r="G9" s="54" t="str">
        <x:v>https://www.aliexpress.com/item/1005007432461342.html</x:v>
      </x:c>
    </x:row>
    <x:row r="10" ht="15" hidden="0" customHeight="1">
      <x:c r="A10" s="60" t="str">
        <x:v>Controls</x:v>
      </x:c>
      <x:c r="B10" s="60" t="str">
        <x:v>3D Rocker Analog Joystick Module</x:v>
      </x:c>
      <x:c r="C10" s="65" t="n">
        <x:v>10</x:v>
      </x:c>
      <x:c r="D10" s="65" t="n">
        <x:v>1</x:v>
      </x:c>
      <x:c r="E10" s="69" t="n">
        <x:v>8.32</x:v>
      </x:c>
      <x:c r="F10" s="60" t="str">
        <x:v>Analog directional input. Remaining modules are spares.</x:v>
      </x:c>
      <x:c r="G10" s="60" t="str">
        <x:v>https://www.aliexpress.com/item/1005006380321059.html</x:v>
      </x:c>
    </x:row>
    <x:row r="11" ht="15" hidden="0" customHeight="1">
      <x:c r="A11" s="54" t="str">
        <x:v>Controls</x:v>
      </x:c>
      <x:c r="B11" s="54" t="str">
        <x:v>Micro Push Button Tact Switch Kit — 25 Types</x:v>
      </x:c>
      <x:c r="C11" s="64" t="n">
        <x:v>125</x:v>
      </x:c>
      <x:c r="D11" s="64" t="n">
        <x:v>13</x:v>
      </x:c>
      <x:c r="E11" s="68" t="n">
        <x:v>5.58</x:v>
      </x:c>
      <x:c r="F11" s="54" t="str">
        <x:v>13 switches used for physical controller buttons.</x:v>
      </x:c>
      <x:c r="G11" s="54" t="str">
        <x:v>https://www.aliexpress.com/item/1005006066621804.html</x:v>
      </x:c>
    </x:row>
    <x:row r="12" ht="26.399999618530273" hidden="0" customHeight="1">
      <x:c r="A12" s="39" t="str">
        <x:v>Total Recorded Purchases</x:v>
      </x:c>
      <x:c r="B12" s="39"/>
      <x:c r="C12" s="39"/>
      <x:c r="D12" s="39"/>
      <x:c r="E12" s="70" t="n">
        <x:f>SUM(E5:E11)</x:f>
        <x:v>91.76</x:v>
      </x:c>
      <x:c r="F12" s="39" t="str">
        <x:v>Includes spare components and multi-piece packs</x:v>
      </x:c>
      <x:c r="G12" s="39"/>
    </x:row>
    <x:row r="13" ht="15" hidden="0" customHeight="1">
      <x:c r="A13" s="76"/>
      <x:c r="B13" s="76"/>
      <x:c r="C13" s="76"/>
      <x:c r="D13" s="76"/>
      <x:c r="E13" s="76"/>
      <x:c r="F13" s="76"/>
      <x:c r="G13" s="76"/>
    </x:row>
    <x:row r="14" ht="15" hidden="0" customHeight="1">
      <x:c r="A14" s="21" t="str">
        <x:v>Realistic Price — Estimated Cost of Parts Actually Used</x:v>
      </x:c>
      <x:c r="B14" s="21"/>
      <x:c r="C14" s="21"/>
      <x:c r="D14" s="21"/>
      <x:c r="E14" s="21"/>
      <x:c r="F14" s="21"/>
      <x:c r="G14" s="21"/>
    </x:row>
    <x:row r="15" ht="15" hidden="0" customHeight="1">
      <x:c r="A15" s="30" t="str">
        <x:v>Category</x:v>
      </x:c>
      <x:c r="B15" s="30" t="str">
        <x:v>Item</x:v>
      </x:c>
      <x:c r="C15" s="30" t="str">
        <x:v>Pack Qty</x:v>
      </x:c>
      <x:c r="D15" s="30" t="str">
        <x:v>Qty Used</x:v>
      </x:c>
      <x:c r="E15" s="30" t="str">
        <x:v>Purchase Price (CAD)</x:v>
      </x:c>
      <x:c r="F15" s="30" t="str">
        <x:v>Cost per Unit</x:v>
      </x:c>
      <x:c r="G15" s="30" t="str">
        <x:v>Realistic Used Cost</x:v>
      </x:c>
    </x:row>
    <x:row r="16" ht="15" hidden="0" customHeight="1">
      <x:c r="A16" s="54" t="str">
        <x:v>Power</x:v>
      </x:c>
      <x:c r="B16" s="54" t="str">
        <x:v>5000 mAh Battery</x:v>
      </x:c>
      <x:c r="C16" s="64" t="n">
        <x:v>2</x:v>
      </x:c>
      <x:c r="D16" s="64" t="n">
        <x:v>1</x:v>
      </x:c>
      <x:c r="E16" s="68" t="n">
        <x:f>E5</x:f>
        <x:v>16.11</x:v>
      </x:c>
      <x:c r="F16" s="68" t="n">
        <x:f>E16/C16</x:f>
        <x:v>8.055</x:v>
      </x:c>
      <x:c r="G16" s="68" t="n">
        <x:f>F16*D16</x:f>
        <x:v>8.055</x:v>
      </x:c>
    </x:row>
    <x:row r="17" ht="15" hidden="0" customHeight="1">
      <x:c r="A17" s="60" t="str">
        <x:v>Power</x:v>
      </x:c>
      <x:c r="B17" s="60" t="str">
        <x:v>Battery Converter Module</x:v>
      </x:c>
      <x:c r="C17" s="65" t="n">
        <x:v>3</x:v>
      </x:c>
      <x:c r="D17" s="65" t="n">
        <x:v>1</x:v>
      </x:c>
      <x:c r="E17" s="69" t="n">
        <x:f>E6</x:f>
        <x:v>2.35</x:v>
      </x:c>
      <x:c r="F17" s="69" t="n">
        <x:f>E17/C17</x:f>
        <x:v>0.7833333333333333</x:v>
      </x:c>
      <x:c r="G17" s="69" t="n">
        <x:f>F17*D17</x:f>
        <x:v>0.7833333333333333</x:v>
      </x:c>
    </x:row>
    <x:row r="18" ht="15" hidden="0" customHeight="1">
      <x:c r="A18" s="54" t="str">
        <x:v>Electronics</x:v>
      </x:c>
      <x:c r="B18" s="54" t="str">
        <x:v>Pro Micro ATmega32U4 5V/16MHz</x:v>
      </x:c>
      <x:c r="C18" s="64" t="n">
        <x:v>1</x:v>
      </x:c>
      <x:c r="D18" s="64" t="n">
        <x:v>1</x:v>
      </x:c>
      <x:c r="E18" s="68" t="n">
        <x:f>E7</x:f>
        <x:v>4.92</x:v>
      </x:c>
      <x:c r="F18" s="68" t="n">
        <x:f>E18/C18</x:f>
        <x:v>4.92</x:v>
      </x:c>
      <x:c r="G18" s="68" t="n">
        <x:f>F18*D18</x:f>
        <x:v>4.92</x:v>
      </x:c>
    </x:row>
    <x:row r="19" ht="15" hidden="0" customHeight="1">
      <x:c r="A19" s="60" t="str">
        <x:v>Connectivity</x:v>
      </x:c>
      <x:c r="B19" s="60" t="str">
        <x:v>USB-C Hub — 7-in-1</x:v>
      </x:c>
      <x:c r="C19" s="65" t="n">
        <x:v>1</x:v>
      </x:c>
      <x:c r="D19" s="65" t="n">
        <x:v>1</x:v>
      </x:c>
      <x:c r="E19" s="69" t="n">
        <x:f>E8</x:f>
        <x:v>12.08</x:v>
      </x:c>
      <x:c r="F19" s="69" t="n">
        <x:f>E19/C19</x:f>
        <x:v>12.08</x:v>
      </x:c>
      <x:c r="G19" s="69" t="n">
        <x:f>F19*D19</x:f>
        <x:v>12.08</x:v>
      </x:c>
    </x:row>
    <x:row r="20" ht="15" hidden="0" customHeight="1">
      <x:c r="A20" s="54" t="str">
        <x:v>Display</x:v>
      </x:c>
      <x:c r="B20" s="54" t="str">
        <x:v>7" 1024×600 TN Touchscreen</x:v>
      </x:c>
      <x:c r="C20" s="64" t="n">
        <x:v>1</x:v>
      </x:c>
      <x:c r="D20" s="64" t="n">
        <x:v>1</x:v>
      </x:c>
      <x:c r="E20" s="68" t="n">
        <x:f>E9</x:f>
        <x:v>42.4</x:v>
      </x:c>
      <x:c r="F20" s="68" t="n">
        <x:f>E20/C20</x:f>
        <x:v>42.4</x:v>
      </x:c>
      <x:c r="G20" s="68" t="n">
        <x:f>F20*D20</x:f>
        <x:v>42.4</x:v>
      </x:c>
    </x:row>
    <x:row r="21" ht="15" hidden="0" customHeight="1">
      <x:c r="A21" s="60" t="str">
        <x:v>Controls</x:v>
      </x:c>
      <x:c r="B21" s="60" t="str">
        <x:v>3D Rocker Analog Joystick Module</x:v>
      </x:c>
      <x:c r="C21" s="65" t="n">
        <x:v>10</x:v>
      </x:c>
      <x:c r="D21" s="65" t="n">
        <x:v>1</x:v>
      </x:c>
      <x:c r="E21" s="69" t="n">
        <x:f>E10</x:f>
        <x:v>8.32</x:v>
      </x:c>
      <x:c r="F21" s="69" t="n">
        <x:f>E21/C21</x:f>
        <x:v>0.8320000000000001</x:v>
      </x:c>
      <x:c r="G21" s="69" t="n">
        <x:f>F21*D21</x:f>
        <x:v>0.8320000000000001</x:v>
      </x:c>
    </x:row>
    <x:row r="22" ht="15" hidden="0" customHeight="1">
      <x:c r="A22" s="54" t="str">
        <x:v>Controls</x:v>
      </x:c>
      <x:c r="B22" s="54" t="str">
        <x:v>Micro Push Button Tact Switch Kit — 25 Types</x:v>
      </x:c>
      <x:c r="C22" s="64" t="n">
        <x:v>125</x:v>
      </x:c>
      <x:c r="D22" s="64" t="n">
        <x:v>13</x:v>
      </x:c>
      <x:c r="E22" s="68" t="n">
        <x:f>E11</x:f>
        <x:v>5.58</x:v>
      </x:c>
      <x:c r="F22" s="68" t="n">
        <x:f>E22/C22</x:f>
        <x:v>0.04464</x:v>
      </x:c>
      <x:c r="G22" s="68" t="n">
        <x:f>F22*D22</x:f>
        <x:v>0.58032</x:v>
      </x:c>
    </x:row>
    <x:row r="23" ht="26.399999618530273" hidden="0" customHeight="1">
      <x:c r="A23" s="39" t="str">
        <x:v>Estimated Realistic Build Cost</x:v>
      </x:c>
      <x:c r="B23" s="39"/>
      <x:c r="C23" s="39"/>
      <x:c r="D23" s="39"/>
      <x:c r="E23" s="70"/>
      <x:c r="F23" s="70" t="str">
        <x:v>Parts actually used</x:v>
      </x:c>
      <x:c r="G23" s="70" t="n">
        <x:f>SUM(G16:G22)</x:f>
        <x:v>69.65065333333332</x:v>
      </x:c>
    </x:row>
    <x:row r="24" ht="15" hidden="0" customHeight="1">
      <x:c r="A24" s="47" t="str">
        <x:v>This estimate proportionally allocates multi-pack prices to only the quantities used. It excludes shipping, taxes, filament, wiring, connectors, fasteners, and other TBD materials.</x:v>
      </x:c>
      <x:c r="B24" s="47"/>
      <x:c r="C24" s="47"/>
      <x:c r="D24" s="47"/>
      <x:c r="E24" s="47"/>
      <x:c r="F24" s="47"/>
      <x:c r="G24" s="47"/>
    </x:row>
    <x:row r="25" ht="15" hidden="0" customHeight="1">
      <x:c r="A25" s="76"/>
      <x:c r="B25" s="76"/>
      <x:c r="C25" s="76"/>
      <x:c r="D25" s="76"/>
      <x:c r="E25" s="76"/>
      <x:c r="F25" s="76"/>
      <x:c r="G25" s="76"/>
    </x:row>
    <x:row r="26" ht="15" hidden="0" customHeight="1">
      <x:c r="A26" s="76"/>
      <x:c r="B26" s="76"/>
      <x:c r="C26" s="76"/>
      <x:c r="D26" s="76"/>
      <x:c r="E26" s="76"/>
      <x:c r="F26" s="76"/>
      <x:c r="G26" s="76"/>
    </x:row>
    <x:row r="27" ht="15" hidden="0" customHeight="1">
      <x:c r="A27" s="21" t="str">
        <x:v>Additional Materials To Document</x:v>
      </x:c>
      <x:c r="B27" s="21"/>
      <x:c r="C27" s="21"/>
      <x:c r="D27" s="21"/>
      <x:c r="E27" s="21"/>
      <x:c r="F27" s="21"/>
      <x:c r="G27" s="21"/>
    </x:row>
    <x:row r="28" ht="15" hidden="0" customHeight="1">
      <x:c r="A28" s="30" t="str">
        <x:v>Category</x:v>
      </x:c>
      <x:c r="B28" s="30" t="str">
        <x:v>Item</x:v>
      </x:c>
      <x:c r="C28" s="30" t="str">
        <x:v>Qty Purchased</x:v>
      </x:c>
      <x:c r="D28" s="30" t="str">
        <x:v>Qty Used</x:v>
      </x:c>
      <x:c r="E28" s="30" t="str">
        <x:v>Price Paid (CAD)</x:v>
      </x:c>
      <x:c r="F28" s="30" t="str">
        <x:v>Purpose / Notes</x:v>
      </x:c>
      <x:c r="G28" s="30" t="str">
        <x:v>Supplier Link</x:v>
      </x:c>
    </x:row>
    <x:row r="29" ht="15" hidden="0" customHeight="1">
      <x:c r="A29" s="54" t="str">
        <x:v>Wiring</x:v>
      </x:c>
      <x:c r="B29" s="54" t="str">
        <x:v>Internal Wiring</x:v>
      </x:c>
      <x:c r="C29" s="64" t="str">
        <x:v>TBD</x:v>
      </x:c>
      <x:c r="D29" s="64" t="str">
        <x:v>TBD</x:v>
      </x:c>
      <x:c r="E29" s="68"/>
      <x:c r="F29" s="54" t="str">
        <x:v>Controller, signal, and power wiring.</x:v>
      </x:c>
      <x:c r="G29" s="54" t="str"/>
    </x:row>
    <x:row r="30" ht="15" hidden="0" customHeight="1">
      <x:c r="A30" s="60" t="str">
        <x:v>Hardware</x:v>
      </x:c>
      <x:c r="B30" s="60" t="str">
        <x:v>Connectors</x:v>
      </x:c>
      <x:c r="C30" s="65" t="str">
        <x:v>TBD</x:v>
      </x:c>
      <x:c r="D30" s="65" t="str">
        <x:v>TBD</x:v>
      </x:c>
      <x:c r="E30" s="69"/>
      <x:c r="F30" s="60" t="str">
        <x:v>Detachable internal electrical connections.</x:v>
      </x:c>
      <x:c r="G30" s="60" t="str"/>
    </x:row>
    <x:row r="31" ht="15" hidden="0" customHeight="1">
      <x:c r="A31" s="54" t="str">
        <x:v>Mechanical</x:v>
      </x:c>
      <x:c r="B31" s="54" t="str">
        <x:v>3D-Printing Filament</x:v>
      </x:c>
      <x:c r="C31" s="64" t="str">
        <x:v>TBD</x:v>
      </x:c>
      <x:c r="D31" s="64" t="str">
        <x:v>TBD</x:v>
      </x:c>
      <x:c r="E31" s="68"/>
      <x:c r="F31" s="54" t="str">
        <x:v>Enclosure and mechanical parts.</x:v>
      </x:c>
      <x:c r="G31" s="54" t="str"/>
    </x:row>
    <x:row r="32" ht="15" hidden="0" customHeight="1">
      <x:c r="A32" s="60" t="str">
        <x:v>Controls</x:v>
      </x:c>
      <x:c r="B32" s="60" t="str">
        <x:v>Copper Tape / PCB Material</x:v>
      </x:c>
      <x:c r="C32" s="65" t="str">
        <x:v>TBD</x:v>
      </x:c>
      <x:c r="D32" s="65" t="str">
        <x:v>TBD</x:v>
      </x:c>
      <x:c r="E32" s="69"/>
      <x:c r="F32" s="60" t="str">
        <x:v>Current controller contact / PCB prototype.</x:v>
      </x:c>
      <x:c r="G32" s="60" t="str"/>
    </x:row>
    <x:row r="33" ht="15" hidden="0" customHeight="1">
      <x:c r="A33" s="54" t="str">
        <x:v>Mechanical</x:v>
      </x:c>
      <x:c r="B33" s="54" t="str">
        <x:v>Fasteners</x:v>
      </x:c>
      <x:c r="C33" s="64" t="str">
        <x:v>TBD</x:v>
      </x:c>
      <x:c r="D33" s="64" t="str">
        <x:v>TBD</x:v>
      </x:c>
      <x:c r="E33" s="68"/>
      <x:c r="F33" s="54" t="str">
        <x:v>Screws and mounting hardware.</x:v>
      </x:c>
      <x:c r="G33" s="54" t="str"/>
    </x:row>
  </x:sheetData>
  <x:mergeCells>
    <x:mergeCell ref="A1:G1"/>
    <x:mergeCell ref="A2:G2"/>
    <x:mergeCell ref="A14:G14"/>
    <x:mergeCell ref="A24:G24"/>
    <x:mergeCell ref="A27:G27"/>
  </x:mergeCells>
  <x:pageMargins left="0.7" right="0.7" top="0.75" bottom="0.75" header="0.3" footer="0.3"/>
</x:worksheet>
</file>